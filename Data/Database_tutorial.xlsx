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rogyn\PycharmProjects\tutorial_brightway_regional_bw2\Data\"/>
    </mc:Choice>
  </mc:AlternateContent>
  <xr:revisionPtr revIDLastSave="0" documentId="13_ncr:1_{1C6CE955-212B-4DC4-9362-1C26EE2E9C71}" xr6:coauthVersionLast="47" xr6:coauthVersionMax="47" xr10:uidLastSave="{00000000-0000-0000-0000-000000000000}"/>
  <bookViews>
    <workbookView xWindow="-28920" yWindow="-120" windowWidth="29040" windowHeight="15720" tabRatio="795" activeTab="1" xr2:uid="{00000000-000D-0000-FFFF-FFFF00000000}"/>
  </bookViews>
  <sheets>
    <sheet name="DefDatabase" sheetId="13" r:id="rId1"/>
    <sheet name="Scenario_1" sheetId="19" r:id="rId2"/>
    <sheet name="Scenario_2" sheetId="2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5" i="19" l="1"/>
  <c r="C47" i="19"/>
  <c r="C65" i="19"/>
  <c r="C66" i="19" l="1"/>
  <c r="C69" i="19"/>
  <c r="C51" i="19"/>
  <c r="C30" i="19"/>
  <c r="C33" i="19"/>
  <c r="C32" i="19"/>
  <c r="C31" i="19"/>
  <c r="C29" i="19"/>
  <c r="C28" i="19"/>
  <c r="C27" i="19"/>
  <c r="C26" i="19"/>
  <c r="C34" i="19"/>
  <c r="C50" i="19"/>
  <c r="C49" i="19"/>
  <c r="C48" i="19"/>
  <c r="C70" i="19"/>
  <c r="C68" i="19"/>
  <c r="C67" i="19"/>
</calcChain>
</file>

<file path=xl/sharedStrings.xml><?xml version="1.0" encoding="utf-8"?>
<sst xmlns="http://schemas.openxmlformats.org/spreadsheetml/2006/main" count="298" uniqueCount="83">
  <si>
    <t>Database</t>
  </si>
  <si>
    <t>format</t>
  </si>
  <si>
    <t>Activity</t>
  </si>
  <si>
    <t>categories</t>
  </si>
  <si>
    <t>comment</t>
  </si>
  <si>
    <t>location</t>
  </si>
  <si>
    <t>type</t>
  </si>
  <si>
    <t>process</t>
  </si>
  <si>
    <t>unit</t>
  </si>
  <si>
    <t>kilogram</t>
  </si>
  <si>
    <t>Exchanges</t>
  </si>
  <si>
    <t>name</t>
  </si>
  <si>
    <t>amount</t>
  </si>
  <si>
    <t>database</t>
  </si>
  <si>
    <t>uncertainty type</t>
  </si>
  <si>
    <t>loc</t>
  </si>
  <si>
    <t>scale</t>
  </si>
  <si>
    <t>shape</t>
  </si>
  <si>
    <t>minimum</t>
  </si>
  <si>
    <t>maximum</t>
  </si>
  <si>
    <t>technosphere</t>
  </si>
  <si>
    <t>Excel spreadsheet</t>
  </si>
  <si>
    <t>GLO</t>
  </si>
  <si>
    <t>formula</t>
  </si>
  <si>
    <t>code</t>
  </si>
  <si>
    <t>cutoff</t>
  </si>
  <si>
    <t>RER</t>
  </si>
  <si>
    <t>ton kilometer</t>
  </si>
  <si>
    <t>production amount</t>
  </si>
  <si>
    <r>
      <rPr>
        <b/>
        <i/>
        <sz val="11"/>
        <color rgb="FFFF0000"/>
        <rFont val="Calibri"/>
        <family val="2"/>
        <scheme val="minor"/>
      </rPr>
      <t xml:space="preserve">Comment zone (no longer than Database entry) </t>
    </r>
    <r>
      <rPr>
        <i/>
        <sz val="11"/>
        <color rgb="FFFF0000"/>
        <rFont val="Calibri"/>
        <family val="2"/>
        <scheme val="minor"/>
      </rPr>
      <t>You can tell the importer to ignore some columns, where you can do calculations or take notes.</t>
    </r>
  </si>
  <si>
    <t>production</t>
  </si>
  <si>
    <t>market for transport, freight, lorry, unspecified</t>
  </si>
  <si>
    <t>reference product</t>
  </si>
  <si>
    <t>BW2regional_tutorial</t>
  </si>
  <si>
    <t>Oil extraction - Rapeseed</t>
  </si>
  <si>
    <t>FR</t>
  </si>
  <si>
    <t>rape seed production</t>
  </si>
  <si>
    <t>rape seed</t>
  </si>
  <si>
    <t>Source : Analyses de Cycle de Vie appliquées aux biocarburants de première génération consommés en France, ADEME, 2010</t>
  </si>
  <si>
    <t>Raw oil - Rapeseed</t>
  </si>
  <si>
    <t>market for hexane</t>
  </si>
  <si>
    <t>hexane</t>
  </si>
  <si>
    <t>megajoule</t>
  </si>
  <si>
    <t>steam production, as energy carrier, in chemical industry</t>
  </si>
  <si>
    <t>heat, from steam, in chemical industry</t>
  </si>
  <si>
    <t>Source : Analyses de Cycle de Vie appliquées aux biocarburants de première génération consommés en France, ADEME, 2010 ; Transport of the seeds to the biorefinery</t>
  </si>
  <si>
    <t>market for electricity, medium voltage</t>
  </si>
  <si>
    <t>electricity, medium voltage</t>
  </si>
  <si>
    <t>Source : Analyses de Cycle de Vie appliquées aux biocarburants de première génération consommés en France, ADEME, 2011</t>
  </si>
  <si>
    <t>biosphere3</t>
  </si>
  <si>
    <t>air</t>
  </si>
  <si>
    <t>(Unknown)</t>
  </si>
  <si>
    <t>biosphere</t>
  </si>
  <si>
    <t>Hexane</t>
  </si>
  <si>
    <t>Semi-refining - Rapeseed</t>
  </si>
  <si>
    <t>Neutral oil - Rapeseed</t>
  </si>
  <si>
    <t>market for phosphoric acid, industrial grade, without water, in 85% solution state</t>
  </si>
  <si>
    <t>phosphoric acid, industrial grade, without water, in 85% solution state</t>
  </si>
  <si>
    <t>market for sodium hydroxide, without water, in 50% solution state</t>
  </si>
  <si>
    <t>sodium hydroxide, without water, in 50% solution state</t>
  </si>
  <si>
    <t>Esterification - Rapeseed</t>
  </si>
  <si>
    <t>Biodiesel - Rapeseed</t>
  </si>
  <si>
    <t>Methanol</t>
  </si>
  <si>
    <t>methanol</t>
  </si>
  <si>
    <t>market for hydrochloric acid, without water, in 30% solution state</t>
  </si>
  <si>
    <t>hydrochloric acid, without water, in 30% solution state</t>
  </si>
  <si>
    <t>market for sodium methoxide</t>
  </si>
  <si>
    <t>sodium methoxide</t>
  </si>
  <si>
    <t>Oil extraction - 64% energetic allocation</t>
  </si>
  <si>
    <t>Semi-refining - 98% energetic allocation</t>
  </si>
  <si>
    <t>Phosphorus</t>
  </si>
  <si>
    <t>Source : Analyses de Cycle de Vie appliquées aux biocarburants de première génération consommés en France, ADEME, 2010
Emission of the entire biorefinery</t>
  </si>
  <si>
    <t>Esterification - 94% energetic allocation</t>
  </si>
  <si>
    <t>skip</t>
  </si>
  <si>
    <t>water::surface water</t>
  </si>
  <si>
    <t>COD, Chemical Oxygen Demand</t>
  </si>
  <si>
    <t>kilowatt hour</t>
  </si>
  <si>
    <t>ecoinvent-3.10.1-cutoff</t>
  </si>
  <si>
    <t>transport, freight, lorry, unspecified</t>
  </si>
  <si>
    <t>market for methanol</t>
  </si>
  <si>
    <t>Esterification - Rapeseed - MJ</t>
  </si>
  <si>
    <t>Rapeseed biodiesel in MJ</t>
  </si>
  <si>
    <t>Biodiesel - Rapeseed - 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</si>
</sst>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9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4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2" borderId="0" xfId="0" applyFont="1" applyFill="1"/>
    <xf numFmtId="0" fontId="0" fillId="2" borderId="0" xfId="0" applyFill="1"/>
    <xf numFmtId="0" fontId="0" fillId="2" borderId="0" xfId="0" applyFill="1" applyAlignment="1">
      <alignment wrapText="1"/>
    </xf>
    <xf numFmtId="0" fontId="6" fillId="0" borderId="0" xfId="0" applyFont="1"/>
    <xf numFmtId="0" fontId="0" fillId="2" borderId="0" xfId="0" applyFill="1" applyAlignment="1">
      <alignment horizontal="left"/>
    </xf>
    <xf numFmtId="0" fontId="6" fillId="0" borderId="0" xfId="0" applyFont="1" applyAlignment="1">
      <alignment wrapText="1"/>
    </xf>
  </cellXfs>
  <cellStyles count="97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 hidden="1"/>
    <cellStyle name="Lien hypertexte" xfId="71" builtinId="8" hidden="1"/>
    <cellStyle name="Lien hypertexte" xfId="73" builtinId="8" hidden="1"/>
    <cellStyle name="Lien hypertexte" xfId="75" builtinId="8" hidden="1"/>
    <cellStyle name="Lien hypertexte" xfId="77" builtinId="8" hidden="1"/>
    <cellStyle name="Lien hypertexte" xfId="79" builtinId="8" hidden="1"/>
    <cellStyle name="Lien hypertexte" xfId="81" builtinId="8" hidden="1"/>
    <cellStyle name="Lien hypertexte" xfId="83" builtinId="8" hidden="1"/>
    <cellStyle name="Lien hypertexte" xfId="85" builtinId="8" hidden="1"/>
    <cellStyle name="Lien hypertexte" xfId="87" builtinId="8" hidden="1"/>
    <cellStyle name="Lien hypertexte" xfId="89" builtinId="8" hidden="1"/>
    <cellStyle name="Lien hypertexte" xfId="91" builtinId="8" hidden="1"/>
    <cellStyle name="Lien hypertexte" xfId="93" builtinId="8" hidden="1"/>
    <cellStyle name="Lien hypertexte" xfId="95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Lien hypertexte visité" xfId="74" builtinId="9" hidden="1"/>
    <cellStyle name="Lien hypertexte visité" xfId="76" builtinId="9" hidden="1"/>
    <cellStyle name="Lien hypertexte visité" xfId="78" builtinId="9" hidden="1"/>
    <cellStyle name="Lien hypertexte visité" xfId="80" builtinId="9" hidden="1"/>
    <cellStyle name="Lien hypertexte visité" xfId="82" builtinId="9" hidden="1"/>
    <cellStyle name="Lien hypertexte visité" xfId="84" builtinId="9" hidden="1"/>
    <cellStyle name="Lien hypertexte visité" xfId="86" builtinId="9" hidden="1"/>
    <cellStyle name="Lien hypertexte visité" xfId="88" builtinId="9" hidden="1"/>
    <cellStyle name="Lien hypertexte visité" xfId="90" builtinId="9" hidden="1"/>
    <cellStyle name="Lien hypertexte visité" xfId="92" builtinId="9" hidden="1"/>
    <cellStyle name="Lien hypertexte visité" xfId="94" builtinId="9" hidden="1"/>
    <cellStyle name="Lien hypertexte visité" xfId="96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zoomScale="85" zoomScaleNormal="85" workbookViewId="0">
      <selection activeCell="A19" sqref="A19"/>
    </sheetView>
  </sheetViews>
  <sheetFormatPr baseColWidth="10" defaultColWidth="8.6640625" defaultRowHeight="14.4" x14ac:dyDescent="0.3"/>
  <cols>
    <col min="1" max="1" width="100" bestFit="1" customWidth="1"/>
    <col min="2" max="2" width="30.5546875" customWidth="1"/>
    <col min="3" max="3" width="14" customWidth="1"/>
    <col min="4" max="4" width="37" customWidth="1"/>
    <col min="5" max="5" width="15.88671875" bestFit="1" customWidth="1"/>
    <col min="6" max="6" width="6.109375" bestFit="1" customWidth="1"/>
    <col min="7" max="10" width="11" bestFit="1" customWidth="1"/>
  </cols>
  <sheetData>
    <row r="1" spans="1:4" x14ac:dyDescent="0.3">
      <c r="A1" t="s">
        <v>25</v>
      </c>
      <c r="B1">
        <v>5</v>
      </c>
      <c r="C1" s="2"/>
      <c r="D1" s="2"/>
    </row>
    <row r="2" spans="1:4" x14ac:dyDescent="0.3">
      <c r="A2" s="1" t="s">
        <v>0</v>
      </c>
      <c r="B2" s="1" t="s">
        <v>33</v>
      </c>
      <c r="C2" s="2"/>
      <c r="D2" s="2"/>
    </row>
    <row r="3" spans="1:4" x14ac:dyDescent="0.3">
      <c r="A3" t="s">
        <v>1</v>
      </c>
      <c r="B3" t="s">
        <v>21</v>
      </c>
      <c r="C3" s="2"/>
      <c r="D3" s="2"/>
    </row>
    <row r="4" spans="1:4" x14ac:dyDescent="0.3">
      <c r="C4" s="2"/>
      <c r="D4" s="2"/>
    </row>
  </sheetData>
  <pageMargins left="0.7" right="0.7" top="0.75" bottom="0.75" header="0.3" footer="0.3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FA49-2782-44AD-9D0E-10E01687D4EF}">
  <dimension ref="A1:W74"/>
  <sheetViews>
    <sheetView tabSelected="1" topLeftCell="B1" zoomScale="85" zoomScaleNormal="85" workbookViewId="0">
      <selection activeCell="H11" sqref="H11"/>
    </sheetView>
  </sheetViews>
  <sheetFormatPr baseColWidth="10" defaultColWidth="8.6640625" defaultRowHeight="14.4" x14ac:dyDescent="0.3"/>
  <cols>
    <col min="1" max="1" width="100" bestFit="1" customWidth="1"/>
    <col min="2" max="2" width="61.44140625" bestFit="1" customWidth="1"/>
    <col min="3" max="3" width="14" customWidth="1"/>
    <col min="4" max="4" width="37" customWidth="1"/>
    <col min="5" max="5" width="21.33203125" bestFit="1" customWidth="1"/>
    <col min="6" max="6" width="24.109375" bestFit="1" customWidth="1"/>
    <col min="7" max="7" width="16.44140625" customWidth="1"/>
    <col min="8" max="8" width="76.44140625" bestFit="1" customWidth="1"/>
    <col min="9" max="9" width="66.33203125" bestFit="1" customWidth="1"/>
    <col min="10" max="10" width="71.33203125" bestFit="1" customWidth="1"/>
    <col min="12" max="16" width="19.44140625" customWidth="1"/>
  </cols>
  <sheetData>
    <row r="1" spans="1:8" x14ac:dyDescent="0.3">
      <c r="A1" t="s">
        <v>25</v>
      </c>
      <c r="B1">
        <v>18</v>
      </c>
      <c r="C1" s="2" t="s">
        <v>29</v>
      </c>
      <c r="D1" s="2"/>
    </row>
    <row r="2" spans="1:8" x14ac:dyDescent="0.3">
      <c r="A2" s="4" t="s">
        <v>2</v>
      </c>
      <c r="B2" s="4" t="s">
        <v>80</v>
      </c>
      <c r="C2" s="2"/>
      <c r="D2" s="2"/>
    </row>
    <row r="3" spans="1:8" x14ac:dyDescent="0.3">
      <c r="A3" s="5" t="s">
        <v>24</v>
      </c>
      <c r="B3" s="5" t="s">
        <v>80</v>
      </c>
      <c r="C3" s="2"/>
      <c r="D3" s="2"/>
    </row>
    <row r="4" spans="1:8" x14ac:dyDescent="0.3">
      <c r="A4" s="5" t="s">
        <v>4</v>
      </c>
      <c r="B4" s="6" t="s">
        <v>81</v>
      </c>
      <c r="C4" s="2"/>
      <c r="D4" s="2"/>
    </row>
    <row r="5" spans="1:8" x14ac:dyDescent="0.3">
      <c r="A5" s="5" t="s">
        <v>5</v>
      </c>
      <c r="B5" s="5" t="s">
        <v>35</v>
      </c>
      <c r="C5" s="2"/>
      <c r="D5" s="2"/>
    </row>
    <row r="6" spans="1:8" x14ac:dyDescent="0.3">
      <c r="A6" s="5" t="s">
        <v>6</v>
      </c>
      <c r="B6" s="5" t="s">
        <v>7</v>
      </c>
      <c r="C6" s="2"/>
      <c r="D6" s="2"/>
    </row>
    <row r="7" spans="1:8" x14ac:dyDescent="0.3">
      <c r="A7" s="5" t="s">
        <v>28</v>
      </c>
      <c r="B7" s="8">
        <v>37.200000000000003</v>
      </c>
      <c r="C7" s="2"/>
      <c r="D7" s="2"/>
    </row>
    <row r="8" spans="1:8" x14ac:dyDescent="0.3">
      <c r="A8" s="5" t="s">
        <v>8</v>
      </c>
      <c r="B8" s="8" t="s">
        <v>42</v>
      </c>
      <c r="C8" s="2"/>
      <c r="D8" s="2"/>
    </row>
    <row r="9" spans="1:8" x14ac:dyDescent="0.3">
      <c r="A9" s="1" t="s">
        <v>10</v>
      </c>
    </row>
    <row r="10" spans="1:8" x14ac:dyDescent="0.3">
      <c r="A10" s="1" t="s">
        <v>11</v>
      </c>
      <c r="B10" s="1" t="s">
        <v>32</v>
      </c>
      <c r="C10" s="1" t="s">
        <v>12</v>
      </c>
      <c r="D10" s="1" t="s">
        <v>8</v>
      </c>
      <c r="E10" s="1" t="s">
        <v>13</v>
      </c>
      <c r="F10" s="1" t="s">
        <v>3</v>
      </c>
      <c r="G10" s="1" t="s">
        <v>5</v>
      </c>
      <c r="H10" s="1" t="s">
        <v>6</v>
      </c>
    </row>
    <row r="11" spans="1:8" x14ac:dyDescent="0.3">
      <c r="A11" t="s">
        <v>80</v>
      </c>
      <c r="B11" t="s">
        <v>82</v>
      </c>
      <c r="C11">
        <v>37.200000000000003</v>
      </c>
      <c r="D11" t="s">
        <v>42</v>
      </c>
      <c r="E11" t="s">
        <v>33</v>
      </c>
      <c r="G11" t="s">
        <v>35</v>
      </c>
      <c r="H11" t="s">
        <v>30</v>
      </c>
    </row>
    <row r="12" spans="1:8" x14ac:dyDescent="0.3">
      <c r="A12" t="s">
        <v>60</v>
      </c>
      <c r="B12" t="s">
        <v>61</v>
      </c>
      <c r="C12">
        <v>1</v>
      </c>
      <c r="D12" t="s">
        <v>9</v>
      </c>
      <c r="E12" t="s">
        <v>33</v>
      </c>
      <c r="G12" t="s">
        <v>35</v>
      </c>
      <c r="H12" t="s">
        <v>20</v>
      </c>
    </row>
    <row r="13" spans="1:8" x14ac:dyDescent="0.3">
      <c r="C13" s="2"/>
      <c r="D13" s="2"/>
    </row>
    <row r="14" spans="1:8" x14ac:dyDescent="0.3">
      <c r="C14" s="2"/>
      <c r="D14" s="2"/>
    </row>
    <row r="15" spans="1:8" x14ac:dyDescent="0.3">
      <c r="A15" s="4" t="s">
        <v>2</v>
      </c>
      <c r="B15" s="4" t="s">
        <v>60</v>
      </c>
      <c r="C15" s="2"/>
      <c r="D15" s="2"/>
    </row>
    <row r="16" spans="1:8" x14ac:dyDescent="0.3">
      <c r="A16" s="5" t="s">
        <v>24</v>
      </c>
      <c r="B16" s="5" t="s">
        <v>60</v>
      </c>
      <c r="C16" s="2"/>
      <c r="D16" s="2"/>
    </row>
    <row r="17" spans="1:16" x14ac:dyDescent="0.3">
      <c r="A17" s="5" t="s">
        <v>4</v>
      </c>
      <c r="B17" s="6" t="s">
        <v>72</v>
      </c>
      <c r="C17" s="2"/>
      <c r="D17" s="2"/>
    </row>
    <row r="18" spans="1:16" x14ac:dyDescent="0.3">
      <c r="A18" s="5" t="s">
        <v>5</v>
      </c>
      <c r="B18" s="5" t="s">
        <v>35</v>
      </c>
      <c r="C18" s="2"/>
      <c r="D18" s="2"/>
    </row>
    <row r="19" spans="1:16" x14ac:dyDescent="0.3">
      <c r="A19" s="5" t="s">
        <v>6</v>
      </c>
      <c r="B19" s="5" t="s">
        <v>7</v>
      </c>
      <c r="C19" s="2"/>
      <c r="D19" s="2"/>
    </row>
    <row r="20" spans="1:16" x14ac:dyDescent="0.3">
      <c r="A20" s="5" t="s">
        <v>28</v>
      </c>
      <c r="B20" s="8">
        <v>0.99399999999999999</v>
      </c>
      <c r="C20" s="2"/>
      <c r="D20" s="2"/>
    </row>
    <row r="21" spans="1:16" x14ac:dyDescent="0.3">
      <c r="A21" s="5" t="s">
        <v>8</v>
      </c>
      <c r="B21" s="8" t="s">
        <v>9</v>
      </c>
      <c r="C21" s="2"/>
      <c r="D21" s="2"/>
    </row>
    <row r="22" spans="1:16" x14ac:dyDescent="0.3">
      <c r="A22" s="1" t="s">
        <v>10</v>
      </c>
    </row>
    <row r="23" spans="1:16" x14ac:dyDescent="0.3">
      <c r="A23" s="1" t="s">
        <v>11</v>
      </c>
      <c r="B23" s="1" t="s">
        <v>32</v>
      </c>
      <c r="C23" s="1" t="s">
        <v>12</v>
      </c>
      <c r="D23" s="1" t="s">
        <v>8</v>
      </c>
      <c r="E23" s="1" t="s">
        <v>13</v>
      </c>
      <c r="F23" s="1" t="s">
        <v>3</v>
      </c>
      <c r="G23" s="1" t="s">
        <v>5</v>
      </c>
      <c r="H23" s="1" t="s">
        <v>6</v>
      </c>
      <c r="I23" s="1" t="s">
        <v>4</v>
      </c>
      <c r="J23" s="1" t="s">
        <v>23</v>
      </c>
      <c r="K23" s="1" t="s">
        <v>14</v>
      </c>
      <c r="L23" s="1" t="s">
        <v>15</v>
      </c>
      <c r="M23" s="1" t="s">
        <v>16</v>
      </c>
      <c r="N23" s="1" t="s">
        <v>17</v>
      </c>
      <c r="O23" s="1" t="s">
        <v>18</v>
      </c>
      <c r="P23" s="1" t="s">
        <v>19</v>
      </c>
    </row>
    <row r="24" spans="1:16" ht="28.8" x14ac:dyDescent="0.3">
      <c r="A24" t="s">
        <v>60</v>
      </c>
      <c r="B24" t="s">
        <v>61</v>
      </c>
      <c r="C24">
        <v>0.99399999999999999</v>
      </c>
      <c r="D24" t="s">
        <v>9</v>
      </c>
      <c r="E24" t="s">
        <v>33</v>
      </c>
      <c r="G24" t="s">
        <v>35</v>
      </c>
      <c r="H24" t="s">
        <v>30</v>
      </c>
      <c r="I24" s="9" t="s">
        <v>38</v>
      </c>
    </row>
    <row r="25" spans="1:16" ht="28.8" x14ac:dyDescent="0.3">
      <c r="A25" s="7" t="s">
        <v>54</v>
      </c>
      <c r="B25" s="7" t="s">
        <v>55</v>
      </c>
      <c r="C25">
        <f>1*0.94</f>
        <v>0.94</v>
      </c>
      <c r="D25" s="7" t="s">
        <v>9</v>
      </c>
      <c r="E25" s="7" t="s">
        <v>33</v>
      </c>
      <c r="F25" s="7"/>
      <c r="G25" s="7" t="s">
        <v>35</v>
      </c>
      <c r="H25" s="7" t="s">
        <v>20</v>
      </c>
      <c r="I25" s="9" t="s">
        <v>38</v>
      </c>
    </row>
    <row r="26" spans="1:16" ht="28.8" x14ac:dyDescent="0.3">
      <c r="A26" s="3" t="s">
        <v>79</v>
      </c>
      <c r="B26" t="s">
        <v>63</v>
      </c>
      <c r="C26">
        <f>0.106855*0.94</f>
        <v>0.1004437</v>
      </c>
      <c r="D26" t="s">
        <v>9</v>
      </c>
      <c r="E26" t="s">
        <v>77</v>
      </c>
      <c r="G26" t="s">
        <v>26</v>
      </c>
      <c r="H26" t="s">
        <v>20</v>
      </c>
      <c r="I26" s="9" t="s">
        <v>38</v>
      </c>
    </row>
    <row r="27" spans="1:16" ht="28.8" x14ac:dyDescent="0.3">
      <c r="A27" t="s">
        <v>64</v>
      </c>
      <c r="B27" t="s">
        <v>65</v>
      </c>
      <c r="C27">
        <f>0.003976*0.94</f>
        <v>3.7374400000000003E-3</v>
      </c>
      <c r="D27" t="s">
        <v>9</v>
      </c>
      <c r="E27" t="s">
        <v>77</v>
      </c>
      <c r="G27" t="s">
        <v>26</v>
      </c>
      <c r="H27" t="s">
        <v>20</v>
      </c>
      <c r="I27" s="9" t="s">
        <v>38</v>
      </c>
    </row>
    <row r="28" spans="1:16" ht="28.8" x14ac:dyDescent="0.3">
      <c r="A28" t="s">
        <v>66</v>
      </c>
      <c r="B28" t="s">
        <v>67</v>
      </c>
      <c r="C28">
        <f>0.0052682*0.94</f>
        <v>4.9521079999999993E-3</v>
      </c>
      <c r="D28" t="s">
        <v>9</v>
      </c>
      <c r="E28" t="s">
        <v>77</v>
      </c>
      <c r="G28" t="s">
        <v>22</v>
      </c>
      <c r="H28" t="s">
        <v>20</v>
      </c>
      <c r="I28" s="9" t="s">
        <v>38</v>
      </c>
    </row>
    <row r="29" spans="1:16" ht="28.8" x14ac:dyDescent="0.3">
      <c r="A29" s="7" t="s">
        <v>43</v>
      </c>
      <c r="B29" s="7" t="s">
        <v>44</v>
      </c>
      <c r="C29">
        <f>1.006922*0.94</f>
        <v>0.94650668000000004</v>
      </c>
      <c r="D29" t="s">
        <v>42</v>
      </c>
      <c r="E29" t="s">
        <v>77</v>
      </c>
      <c r="F29" s="7"/>
      <c r="G29" s="7" t="s">
        <v>26</v>
      </c>
      <c r="H29" s="7" t="s">
        <v>20</v>
      </c>
      <c r="I29" s="9" t="s">
        <v>38</v>
      </c>
    </row>
    <row r="30" spans="1:16" ht="28.8" x14ac:dyDescent="0.3">
      <c r="A30" s="7" t="s">
        <v>46</v>
      </c>
      <c r="B30" s="7" t="s">
        <v>47</v>
      </c>
      <c r="C30" s="7">
        <f>0.150094*0.94/3.6</f>
        <v>3.919121111111111E-2</v>
      </c>
      <c r="D30" s="7" t="s">
        <v>76</v>
      </c>
      <c r="E30" t="s">
        <v>77</v>
      </c>
      <c r="F30" s="7"/>
      <c r="G30" s="7" t="s">
        <v>35</v>
      </c>
      <c r="H30" s="7" t="s">
        <v>20</v>
      </c>
      <c r="I30" s="9" t="s">
        <v>48</v>
      </c>
      <c r="J30" s="7"/>
    </row>
    <row r="31" spans="1:16" ht="28.8" x14ac:dyDescent="0.3">
      <c r="A31" t="s">
        <v>62</v>
      </c>
      <c r="C31">
        <f>0.000007952*0.94</f>
        <v>7.4748799999999988E-6</v>
      </c>
      <c r="D31" t="s">
        <v>9</v>
      </c>
      <c r="E31" t="s">
        <v>49</v>
      </c>
      <c r="F31" t="s">
        <v>50</v>
      </c>
      <c r="G31" t="s">
        <v>51</v>
      </c>
      <c r="H31" t="s">
        <v>52</v>
      </c>
      <c r="I31" s="9" t="s">
        <v>38</v>
      </c>
    </row>
    <row r="32" spans="1:16" ht="28.8" x14ac:dyDescent="0.3">
      <c r="A32" t="s">
        <v>62</v>
      </c>
      <c r="C32">
        <f>0.0000230608*0.94</f>
        <v>2.1677151999999998E-5</v>
      </c>
      <c r="D32" t="s">
        <v>9</v>
      </c>
      <c r="E32" t="s">
        <v>49</v>
      </c>
      <c r="F32" t="s">
        <v>74</v>
      </c>
      <c r="G32" t="s">
        <v>51</v>
      </c>
      <c r="H32" t="s">
        <v>52</v>
      </c>
      <c r="I32" s="9" t="s">
        <v>38</v>
      </c>
    </row>
    <row r="33" spans="1:23" ht="43.2" x14ac:dyDescent="0.3">
      <c r="A33" t="s">
        <v>70</v>
      </c>
      <c r="C33">
        <f>0.212*C24/1000*0.94</f>
        <v>1.9808432E-4</v>
      </c>
      <c r="D33" t="s">
        <v>9</v>
      </c>
      <c r="E33" t="s">
        <v>49</v>
      </c>
      <c r="F33" t="s">
        <v>74</v>
      </c>
      <c r="G33" t="s">
        <v>51</v>
      </c>
      <c r="H33" t="s">
        <v>52</v>
      </c>
      <c r="I33" s="9" t="s">
        <v>71</v>
      </c>
    </row>
    <row r="34" spans="1:23" ht="43.2" x14ac:dyDescent="0.3">
      <c r="A34" t="s">
        <v>75</v>
      </c>
      <c r="C34">
        <f>1.09*C24/1000*0.94</f>
        <v>1.0184523999999999E-3</v>
      </c>
      <c r="D34" t="s">
        <v>9</v>
      </c>
      <c r="E34" t="s">
        <v>49</v>
      </c>
      <c r="F34" t="s">
        <v>74</v>
      </c>
      <c r="G34" t="s">
        <v>51</v>
      </c>
      <c r="H34" t="s">
        <v>52</v>
      </c>
      <c r="I34" s="9" t="s">
        <v>71</v>
      </c>
    </row>
    <row r="35" spans="1:23" x14ac:dyDescent="0.3">
      <c r="C35" s="2"/>
      <c r="D35" s="2"/>
    </row>
    <row r="36" spans="1:23" x14ac:dyDescent="0.3">
      <c r="C36" s="2"/>
      <c r="D36" s="2"/>
    </row>
    <row r="37" spans="1:23" x14ac:dyDescent="0.3">
      <c r="A37" s="4" t="s">
        <v>2</v>
      </c>
      <c r="B37" s="4" t="s">
        <v>54</v>
      </c>
      <c r="C37" s="2"/>
      <c r="D37" s="2"/>
    </row>
    <row r="38" spans="1:23" x14ac:dyDescent="0.3">
      <c r="A38" s="5" t="s">
        <v>24</v>
      </c>
      <c r="B38" s="5" t="s">
        <v>54</v>
      </c>
      <c r="C38" s="2"/>
      <c r="D38" s="2"/>
    </row>
    <row r="39" spans="1:23" x14ac:dyDescent="0.3">
      <c r="A39" s="5" t="s">
        <v>4</v>
      </c>
      <c r="B39" s="6" t="s">
        <v>69</v>
      </c>
      <c r="C39" s="2"/>
      <c r="D39" s="2"/>
    </row>
    <row r="40" spans="1:23" x14ac:dyDescent="0.3">
      <c r="A40" s="5" t="s">
        <v>5</v>
      </c>
      <c r="B40" s="5" t="s">
        <v>35</v>
      </c>
      <c r="C40" s="2"/>
      <c r="D40" s="2"/>
    </row>
    <row r="41" spans="1:23" x14ac:dyDescent="0.3">
      <c r="A41" s="5" t="s">
        <v>6</v>
      </c>
      <c r="B41" s="5" t="s">
        <v>7</v>
      </c>
      <c r="C41" s="2"/>
      <c r="D41" s="2"/>
    </row>
    <row r="42" spans="1:23" x14ac:dyDescent="0.3">
      <c r="A42" s="5" t="s">
        <v>28</v>
      </c>
      <c r="B42" s="8">
        <v>0.98</v>
      </c>
      <c r="C42" s="2"/>
      <c r="D42" s="2"/>
    </row>
    <row r="43" spans="1:23" x14ac:dyDescent="0.3">
      <c r="A43" s="5" t="s">
        <v>8</v>
      </c>
      <c r="B43" s="8" t="s">
        <v>9</v>
      </c>
      <c r="C43" s="2"/>
      <c r="D43" s="2"/>
    </row>
    <row r="44" spans="1:23" x14ac:dyDescent="0.3">
      <c r="A44" s="1" t="s">
        <v>10</v>
      </c>
    </row>
    <row r="45" spans="1:23" x14ac:dyDescent="0.3">
      <c r="A45" s="1" t="s">
        <v>11</v>
      </c>
      <c r="B45" s="1" t="s">
        <v>32</v>
      </c>
      <c r="C45" s="1" t="s">
        <v>12</v>
      </c>
      <c r="D45" s="1" t="s">
        <v>8</v>
      </c>
      <c r="E45" s="1" t="s">
        <v>13</v>
      </c>
      <c r="F45" s="1" t="s">
        <v>3</v>
      </c>
      <c r="G45" s="1" t="s">
        <v>5</v>
      </c>
      <c r="H45" s="1" t="s">
        <v>6</v>
      </c>
      <c r="I45" s="1" t="s">
        <v>4</v>
      </c>
      <c r="J45" s="1" t="s">
        <v>23</v>
      </c>
      <c r="K45" s="1" t="s">
        <v>14</v>
      </c>
      <c r="L45" s="1" t="s">
        <v>15</v>
      </c>
      <c r="M45" s="1" t="s">
        <v>16</v>
      </c>
      <c r="N45" s="1" t="s">
        <v>17</v>
      </c>
      <c r="O45" s="1" t="s">
        <v>18</v>
      </c>
      <c r="P45" s="1" t="s">
        <v>19</v>
      </c>
    </row>
    <row r="46" spans="1:23" ht="28.8" x14ac:dyDescent="0.3">
      <c r="A46" s="7" t="s">
        <v>54</v>
      </c>
      <c r="B46" s="7" t="s">
        <v>55</v>
      </c>
      <c r="C46">
        <v>0.98</v>
      </c>
      <c r="D46" s="7" t="s">
        <v>9</v>
      </c>
      <c r="E46" s="7" t="s">
        <v>33</v>
      </c>
      <c r="F46" s="7"/>
      <c r="G46" s="7" t="s">
        <v>35</v>
      </c>
      <c r="H46" s="7" t="s">
        <v>30</v>
      </c>
      <c r="I46" s="9" t="s">
        <v>38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ht="28.8" x14ac:dyDescent="0.3">
      <c r="A47" s="7" t="s">
        <v>34</v>
      </c>
      <c r="B47" s="7" t="s">
        <v>39</v>
      </c>
      <c r="C47">
        <f>1*0.98</f>
        <v>0.98</v>
      </c>
      <c r="D47" s="7" t="s">
        <v>9</v>
      </c>
      <c r="E47" s="7" t="s">
        <v>33</v>
      </c>
      <c r="F47" s="7"/>
      <c r="G47" s="7" t="s">
        <v>35</v>
      </c>
      <c r="H47" s="7" t="s">
        <v>20</v>
      </c>
      <c r="I47" s="9" t="s">
        <v>38</v>
      </c>
      <c r="J47" s="7"/>
    </row>
    <row r="48" spans="1:23" ht="28.8" x14ac:dyDescent="0.3">
      <c r="A48" t="s">
        <v>56</v>
      </c>
      <c r="B48" t="s">
        <v>57</v>
      </c>
      <c r="C48">
        <f>0.00098*0.98</f>
        <v>9.6039999999999993E-4</v>
      </c>
      <c r="D48" s="7" t="s">
        <v>9</v>
      </c>
      <c r="E48" t="s">
        <v>77</v>
      </c>
      <c r="G48" t="s">
        <v>22</v>
      </c>
      <c r="H48" t="s">
        <v>20</v>
      </c>
      <c r="I48" s="9" t="s">
        <v>38</v>
      </c>
    </row>
    <row r="49" spans="1:16" ht="28.8" x14ac:dyDescent="0.3">
      <c r="A49" t="s">
        <v>58</v>
      </c>
      <c r="B49" t="s">
        <v>59</v>
      </c>
      <c r="C49">
        <f>0.00294*0.98</f>
        <v>2.8812E-3</v>
      </c>
      <c r="D49" s="7" t="s">
        <v>9</v>
      </c>
      <c r="E49" t="s">
        <v>77</v>
      </c>
      <c r="G49" t="s">
        <v>26</v>
      </c>
      <c r="H49" t="s">
        <v>20</v>
      </c>
      <c r="I49" s="9" t="s">
        <v>38</v>
      </c>
    </row>
    <row r="50" spans="1:16" ht="28.8" x14ac:dyDescent="0.3">
      <c r="A50" s="7" t="s">
        <v>43</v>
      </c>
      <c r="B50" s="7" t="s">
        <v>44</v>
      </c>
      <c r="C50" s="7">
        <f>0.14602*0.98</f>
        <v>0.14309960000000002</v>
      </c>
      <c r="D50" s="7" t="s">
        <v>42</v>
      </c>
      <c r="E50" t="s">
        <v>77</v>
      </c>
      <c r="F50" s="7"/>
      <c r="G50" s="7" t="s">
        <v>26</v>
      </c>
      <c r="H50" s="7" t="s">
        <v>20</v>
      </c>
      <c r="I50" s="9" t="s">
        <v>38</v>
      </c>
      <c r="J50" s="7"/>
    </row>
    <row r="51" spans="1:16" ht="28.8" x14ac:dyDescent="0.3">
      <c r="A51" s="7" t="s">
        <v>46</v>
      </c>
      <c r="B51" s="7" t="s">
        <v>47</v>
      </c>
      <c r="C51" s="7">
        <f>0.03332*0.98/3.6</f>
        <v>9.0704444444444452E-3</v>
      </c>
      <c r="D51" s="7" t="s">
        <v>76</v>
      </c>
      <c r="E51" t="s">
        <v>77</v>
      </c>
      <c r="F51" s="7"/>
      <c r="G51" s="7" t="s">
        <v>35</v>
      </c>
      <c r="H51" s="7" t="s">
        <v>20</v>
      </c>
      <c r="I51" s="9" t="s">
        <v>48</v>
      </c>
      <c r="J51" s="7"/>
    </row>
    <row r="52" spans="1:16" x14ac:dyDescent="0.3">
      <c r="D52" s="7"/>
    </row>
    <row r="53" spans="1:16" x14ac:dyDescent="0.3">
      <c r="D53" s="2"/>
    </row>
    <row r="54" spans="1:16" x14ac:dyDescent="0.3">
      <c r="D54" s="2"/>
    </row>
    <row r="55" spans="1:16" x14ac:dyDescent="0.3">
      <c r="A55" s="4" t="s">
        <v>2</v>
      </c>
      <c r="B55" s="4" t="s">
        <v>34</v>
      </c>
      <c r="C55" s="2"/>
      <c r="D55" s="2"/>
    </row>
    <row r="56" spans="1:16" x14ac:dyDescent="0.3">
      <c r="A56" s="5" t="s">
        <v>24</v>
      </c>
      <c r="B56" s="5" t="s">
        <v>34</v>
      </c>
      <c r="C56" s="2"/>
      <c r="D56" s="2"/>
    </row>
    <row r="57" spans="1:16" x14ac:dyDescent="0.3">
      <c r="A57" s="5" t="s">
        <v>4</v>
      </c>
      <c r="B57" s="6" t="s">
        <v>68</v>
      </c>
      <c r="C57" s="2"/>
      <c r="D57" s="2"/>
    </row>
    <row r="58" spans="1:16" x14ac:dyDescent="0.3">
      <c r="A58" s="5" t="s">
        <v>5</v>
      </c>
      <c r="B58" s="5" t="s">
        <v>35</v>
      </c>
      <c r="C58" s="2"/>
      <c r="D58" s="2"/>
    </row>
    <row r="59" spans="1:16" x14ac:dyDescent="0.3">
      <c r="A59" s="5" t="s">
        <v>6</v>
      </c>
      <c r="B59" s="5" t="s">
        <v>7</v>
      </c>
      <c r="C59" s="2"/>
      <c r="D59" s="2"/>
    </row>
    <row r="60" spans="1:16" x14ac:dyDescent="0.3">
      <c r="A60" s="5" t="s">
        <v>28</v>
      </c>
      <c r="B60" s="8">
        <v>0.42399999999999999</v>
      </c>
      <c r="C60" s="2"/>
      <c r="D60" s="2"/>
    </row>
    <row r="61" spans="1:16" x14ac:dyDescent="0.3">
      <c r="A61" s="5" t="s">
        <v>8</v>
      </c>
      <c r="B61" s="8" t="s">
        <v>9</v>
      </c>
      <c r="C61" s="2"/>
      <c r="D61" s="2"/>
    </row>
    <row r="62" spans="1:16" x14ac:dyDescent="0.3">
      <c r="A62" s="1" t="s">
        <v>10</v>
      </c>
    </row>
    <row r="63" spans="1:16" x14ac:dyDescent="0.3">
      <c r="A63" s="1" t="s">
        <v>11</v>
      </c>
      <c r="B63" s="1" t="s">
        <v>32</v>
      </c>
      <c r="C63" s="1" t="s">
        <v>12</v>
      </c>
      <c r="D63" s="1" t="s">
        <v>8</v>
      </c>
      <c r="E63" s="1" t="s">
        <v>13</v>
      </c>
      <c r="F63" s="1" t="s">
        <v>3</v>
      </c>
      <c r="G63" s="1" t="s">
        <v>5</v>
      </c>
      <c r="H63" s="1" t="s">
        <v>6</v>
      </c>
      <c r="I63" s="1" t="s">
        <v>4</v>
      </c>
      <c r="J63" s="1" t="s">
        <v>23</v>
      </c>
      <c r="K63" s="1" t="s">
        <v>14</v>
      </c>
      <c r="L63" s="1" t="s">
        <v>15</v>
      </c>
      <c r="M63" s="1" t="s">
        <v>16</v>
      </c>
      <c r="N63" s="1" t="s">
        <v>17</v>
      </c>
      <c r="O63" s="1" t="s">
        <v>18</v>
      </c>
      <c r="P63" s="1" t="s">
        <v>19</v>
      </c>
    </row>
    <row r="64" spans="1:16" s="7" customFormat="1" x14ac:dyDescent="0.3">
      <c r="A64" s="7" t="s">
        <v>34</v>
      </c>
      <c r="B64" s="7" t="s">
        <v>39</v>
      </c>
      <c r="C64" s="7">
        <v>0.42399999999999999</v>
      </c>
      <c r="D64" s="7" t="s">
        <v>9</v>
      </c>
      <c r="E64" s="7" t="s">
        <v>33</v>
      </c>
      <c r="G64" s="7" t="s">
        <v>35</v>
      </c>
      <c r="H64" s="7" t="s">
        <v>30</v>
      </c>
      <c r="K64"/>
      <c r="L64"/>
      <c r="M64"/>
      <c r="N64"/>
      <c r="O64"/>
      <c r="P64"/>
    </row>
    <row r="65" spans="1:16" s="7" customFormat="1" ht="28.8" x14ac:dyDescent="0.3">
      <c r="A65" t="s">
        <v>36</v>
      </c>
      <c r="B65" t="s">
        <v>37</v>
      </c>
      <c r="C65">
        <f>1*0.64</f>
        <v>0.64</v>
      </c>
      <c r="D65" t="s">
        <v>9</v>
      </c>
      <c r="E65" t="s">
        <v>77</v>
      </c>
      <c r="F65"/>
      <c r="G65" t="s">
        <v>35</v>
      </c>
      <c r="H65" t="s">
        <v>20</v>
      </c>
      <c r="I65" s="9" t="s">
        <v>38</v>
      </c>
      <c r="J65"/>
      <c r="K65"/>
      <c r="L65"/>
      <c r="M65"/>
      <c r="N65"/>
      <c r="O65"/>
      <c r="P65"/>
    </row>
    <row r="66" spans="1:16" s="7" customFormat="1" ht="43.2" x14ac:dyDescent="0.3">
      <c r="A66" t="s">
        <v>31</v>
      </c>
      <c r="B66" t="s">
        <v>78</v>
      </c>
      <c r="C66">
        <f>120*1/1000*0.64</f>
        <v>7.6799999999999993E-2</v>
      </c>
      <c r="D66" t="s">
        <v>27</v>
      </c>
      <c r="E66" t="s">
        <v>77</v>
      </c>
      <c r="F66"/>
      <c r="G66" t="s">
        <v>26</v>
      </c>
      <c r="H66" t="s">
        <v>20</v>
      </c>
      <c r="I66" s="3" t="s">
        <v>45</v>
      </c>
      <c r="J66"/>
      <c r="K66"/>
      <c r="L66"/>
      <c r="M66"/>
      <c r="N66"/>
      <c r="O66"/>
      <c r="P66"/>
    </row>
    <row r="67" spans="1:16" s="7" customFormat="1" ht="28.8" x14ac:dyDescent="0.3">
      <c r="A67" s="7" t="s">
        <v>40</v>
      </c>
      <c r="B67" s="7" t="s">
        <v>41</v>
      </c>
      <c r="C67" s="7">
        <f>0.000848*0.64</f>
        <v>5.4272000000000001E-4</v>
      </c>
      <c r="D67" s="7" t="s">
        <v>9</v>
      </c>
      <c r="E67" t="s">
        <v>77</v>
      </c>
      <c r="G67" s="7" t="s">
        <v>22</v>
      </c>
      <c r="H67" s="7" t="s">
        <v>20</v>
      </c>
      <c r="I67" s="9" t="s">
        <v>38</v>
      </c>
      <c r="K67"/>
      <c r="L67"/>
      <c r="M67"/>
      <c r="N67"/>
      <c r="O67"/>
      <c r="P67"/>
    </row>
    <row r="68" spans="1:16" s="7" customFormat="1" ht="28.8" x14ac:dyDescent="0.3">
      <c r="A68" s="7" t="s">
        <v>43</v>
      </c>
      <c r="B68" s="7" t="s">
        <v>44</v>
      </c>
      <c r="C68" s="7">
        <f>0.6786544*0.64</f>
        <v>0.43433881600000002</v>
      </c>
      <c r="D68" s="7" t="s">
        <v>42</v>
      </c>
      <c r="E68" t="s">
        <v>77</v>
      </c>
      <c r="G68" s="7" t="s">
        <v>26</v>
      </c>
      <c r="H68" s="7" t="s">
        <v>20</v>
      </c>
      <c r="I68" s="9" t="s">
        <v>38</v>
      </c>
      <c r="K68"/>
      <c r="L68"/>
      <c r="M68"/>
      <c r="N68"/>
      <c r="O68"/>
      <c r="P68"/>
    </row>
    <row r="69" spans="1:16" s="7" customFormat="1" ht="28.8" x14ac:dyDescent="0.3">
      <c r="A69" s="7" t="s">
        <v>46</v>
      </c>
      <c r="B69" s="7" t="s">
        <v>47</v>
      </c>
      <c r="C69" s="7">
        <f>0.15264*0.64/3.6</f>
        <v>2.7136E-2</v>
      </c>
      <c r="D69" s="7" t="s">
        <v>76</v>
      </c>
      <c r="E69" t="s">
        <v>77</v>
      </c>
      <c r="G69" s="7" t="s">
        <v>35</v>
      </c>
      <c r="H69" s="7" t="s">
        <v>20</v>
      </c>
      <c r="I69" s="9" t="s">
        <v>48</v>
      </c>
      <c r="K69"/>
      <c r="L69"/>
      <c r="M69"/>
      <c r="N69"/>
      <c r="O69"/>
      <c r="P69"/>
    </row>
    <row r="70" spans="1:16" x14ac:dyDescent="0.3">
      <c r="A70" s="7" t="s">
        <v>53</v>
      </c>
      <c r="C70">
        <f>0.00048336*0.64</f>
        <v>3.0935039999999999E-4</v>
      </c>
      <c r="D70" s="7" t="s">
        <v>9</v>
      </c>
      <c r="E70" t="s">
        <v>49</v>
      </c>
      <c r="F70" t="s">
        <v>50</v>
      </c>
      <c r="G70" t="s">
        <v>51</v>
      </c>
      <c r="H70" t="s">
        <v>52</v>
      </c>
    </row>
    <row r="72" spans="1:16" s="7" customFormat="1" ht="28.95" customHeight="1" x14ac:dyDescent="0.3">
      <c r="I72" s="3"/>
      <c r="J72"/>
      <c r="K72"/>
      <c r="L72"/>
      <c r="M72"/>
      <c r="N72"/>
      <c r="O72"/>
      <c r="P72"/>
    </row>
    <row r="73" spans="1:16" x14ac:dyDescent="0.3">
      <c r="C73" s="2"/>
      <c r="D73" s="2"/>
    </row>
    <row r="74" spans="1:16" x14ac:dyDescent="0.3">
      <c r="C74" s="2"/>
      <c r="D74" s="2"/>
    </row>
  </sheetData>
  <phoneticPr fontId="7" type="noConversion"/>
  <pageMargins left="0.7" right="0.7" top="0.75" bottom="0.75" header="0.3" footer="0.3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F663D-B331-4B78-919E-DA05F3B2B3C9}">
  <dimension ref="A1"/>
  <sheetViews>
    <sheetView workbookViewId="0">
      <selection activeCell="A2" sqref="A2"/>
    </sheetView>
  </sheetViews>
  <sheetFormatPr baseColWidth="10" defaultRowHeight="14.4" x14ac:dyDescent="0.3"/>
  <sheetData>
    <row r="1" spans="1:1" x14ac:dyDescent="0.3">
      <c r="A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DefDatabase</vt:lpstr>
      <vt:lpstr>Scenario_1</vt:lpstr>
      <vt:lpstr>Scenario_2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Lesage</dc:creator>
  <cp:lastModifiedBy>ROGY Nicolas</cp:lastModifiedBy>
  <dcterms:created xsi:type="dcterms:W3CDTF">2016-03-08T15:11:49Z</dcterms:created>
  <dcterms:modified xsi:type="dcterms:W3CDTF">2025-11-04T10:52:58Z</dcterms:modified>
</cp:coreProperties>
</file>